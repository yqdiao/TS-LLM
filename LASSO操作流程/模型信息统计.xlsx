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<sst xmlns="http://schemas.openxmlformats.org/spreadsheetml/2006/main" count="85" uniqueCount="30">
  <si>
    <t>交易时间</t>
  </si>
  <si>
    <t>基准模型</t>
  </si>
  <si>
    <t>R-square</t>
  </si>
  <si>
    <t>混合模型R-square</t>
  </si>
  <si>
    <t>△R-square</t>
  </si>
  <si>
    <t>1月4日</t>
  </si>
  <si>
    <t>AR(1)</t>
  </si>
  <si>
    <t>1月5日</t>
  </si>
  <si>
    <t>AR(2)</t>
  </si>
  <si>
    <t>AR(3)</t>
  </si>
  <si>
    <t>AR(4)</t>
  </si>
  <si>
    <t>AR(5)</t>
  </si>
  <si>
    <t>AR(h*)</t>
  </si>
  <si>
    <t>LASSO</t>
  </si>
  <si>
    <t>△R-square mean</t>
  </si>
  <si>
    <t>随机挑选的75只股票</t>
  </si>
  <si>
    <t>混合模型</t>
  </si>
  <si>
    <t>AR(1)+LASSO</t>
  </si>
  <si>
    <t>AR(2)+LASSO</t>
  </si>
  <si>
    <t>AR(3)+LASSO</t>
  </si>
  <si>
    <t>AR(4)+LASSO</t>
  </si>
  <si>
    <t>AR(5)+LASSO</t>
  </si>
  <si>
    <t>AR(h*)+LASSO</t>
  </si>
  <si>
    <t>AR(1)+Market</t>
  </si>
  <si>
    <t>AR(2)+Market</t>
  </si>
  <si>
    <t>AR(3)+Market</t>
  </si>
  <si>
    <t>AR(4)+Market</t>
  </si>
  <si>
    <t>AR(5)+Market</t>
  </si>
  <si>
    <t>AR(h*)+Market</t>
  </si>
  <si>
    <t>Retail行业的75只股票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</si>
</sst>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49" fontId="0" fillId="0" borderId="4" xfId="0" applyNumberFormat="1" applyBorder="1">
      <alignment vertical="center"/>
    </xf>
    <xf numFmtId="0" fontId="0" fillId="2" borderId="5" xfId="0" applyFill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0" xfId="0" applyNumberFormat="1">
      <alignment vertical="center"/>
    </xf>
    <xf numFmtId="0" fontId="2" fillId="0" borderId="0" xfId="0" applyNumberFormat="1" applyFont="1" applyFill="1">
      <alignment vertical="center"/>
    </xf>
    <xf numFmtId="0" fontId="0" fillId="0" borderId="6" xfId="0" applyBorder="1">
      <alignment vertical="center"/>
    </xf>
    <xf numFmtId="0" fontId="0" fillId="0" borderId="7" xfId="0" applyFont="1" applyFill="1" applyBorder="1">
      <alignment vertical="center"/>
    </xf>
    <xf numFmtId="0" fontId="0" fillId="2" borderId="7" xfId="0" applyFill="1" applyBorder="1">
      <alignment vertical="center"/>
    </xf>
    <xf numFmtId="0" fontId="0" fillId="0" borderId="7" xfId="0" applyBorder="1">
      <alignment vertical="center"/>
    </xf>
    <xf numFmtId="0" fontId="0" fillId="2" borderId="8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175260</xdr:colOff>
      <xdr:row>2</xdr:row>
      <xdr:rowOff>106680</xdr:rowOff>
    </xdr:from>
    <xdr:to>
      <xdr:col>15</xdr:col>
      <xdr:colOff>89535</xdr:colOff>
      <xdr:row>4</xdr:row>
      <xdr:rowOff>131445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78135" y="472440"/>
          <a:ext cx="2962275" cy="390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309245</xdr:colOff>
      <xdr:row>5</xdr:row>
      <xdr:rowOff>57150</xdr:rowOff>
    </xdr:from>
    <xdr:to>
      <xdr:col>16</xdr:col>
      <xdr:colOff>404495</xdr:colOff>
      <xdr:row>15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612120" y="971550"/>
          <a:ext cx="3752850" cy="1924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"/>
  <sheetViews>
    <sheetView tabSelected="1" zoomScale="115" zoomScaleNormal="115" workbookViewId="0">
      <selection activeCell="I35" sqref="I35"/>
    </sheetView>
  </sheetViews>
  <sheetFormatPr defaultColWidth="8.88888888888889" defaultRowHeight="14.4"/>
  <cols>
    <col min="2" max="2" width="19.5092592592593" customWidth="1"/>
    <col min="3" max="3" width="18.0555555555556" customWidth="1"/>
    <col min="4" max="4" width="18" customWidth="1"/>
    <col min="5" max="5" width="20.7777777777778" customWidth="1"/>
    <col min="6" max="6" width="12.8888888888889"/>
    <col min="8" max="8" width="13.5555555555556" customWidth="1"/>
    <col min="9" max="9" width="17.7777777777778" customWidth="1"/>
    <col min="10" max="10" width="11.888888888888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>
      <c r="A2" t="s">
        <v>5</v>
      </c>
      <c r="B2" t="s">
        <v>6</v>
      </c>
      <c r="C2">
        <v>0.0166974449834052</v>
      </c>
      <c r="F2" s="1" t="s">
        <v>7</v>
      </c>
      <c r="G2" t="s">
        <v>6</v>
      </c>
      <c r="H2">
        <v>0.0162944531556106</v>
      </c>
      <c r="I2">
        <v>0.459513175286812</v>
      </c>
      <c r="J2">
        <f t="shared" ref="J2:J7" si="0">I2-H2</f>
        <v>0.443218722131201</v>
      </c>
    </row>
    <row r="3" spans="2:10">
      <c r="B3" t="s">
        <v>8</v>
      </c>
      <c r="C3">
        <v>0.0154470650972296</v>
      </c>
      <c r="G3" t="s">
        <v>8</v>
      </c>
      <c r="H3">
        <v>0.00577983655630377</v>
      </c>
      <c r="I3">
        <v>0.460750797377804</v>
      </c>
      <c r="J3">
        <f t="shared" si="0"/>
        <v>0.4549709608215</v>
      </c>
    </row>
    <row r="4" spans="2:10">
      <c r="B4" t="s">
        <v>9</v>
      </c>
      <c r="C4">
        <v>0.0151069663164821</v>
      </c>
      <c r="G4" t="s">
        <v>9</v>
      </c>
      <c r="H4">
        <v>0.00470498490310897</v>
      </c>
      <c r="I4">
        <v>0.460393873468534</v>
      </c>
      <c r="J4">
        <f t="shared" si="0"/>
        <v>0.455688888565425</v>
      </c>
    </row>
    <row r="5" spans="2:10">
      <c r="B5" t="s">
        <v>10</v>
      </c>
      <c r="C5">
        <v>0.00966279857787164</v>
      </c>
      <c r="G5" t="s">
        <v>10</v>
      </c>
      <c r="H5">
        <v>0.00483736090764299</v>
      </c>
      <c r="I5">
        <v>0.460760230198013</v>
      </c>
      <c r="J5">
        <f t="shared" si="0"/>
        <v>0.45592286929037</v>
      </c>
    </row>
    <row r="6" spans="2:10">
      <c r="B6" t="s">
        <v>11</v>
      </c>
      <c r="C6">
        <v>0.0153286532672246</v>
      </c>
      <c r="G6" t="s">
        <v>11</v>
      </c>
      <c r="H6">
        <v>0.00471645175747347</v>
      </c>
      <c r="I6">
        <v>0.456475084565958</v>
      </c>
      <c r="J6">
        <f t="shared" si="0"/>
        <v>0.451758632808484</v>
      </c>
    </row>
    <row r="7" spans="2:10">
      <c r="B7" t="s">
        <v>12</v>
      </c>
      <c r="C7">
        <v>0.0118694448018967</v>
      </c>
      <c r="G7" t="s">
        <v>12</v>
      </c>
      <c r="H7">
        <v>0.0151195848580468</v>
      </c>
      <c r="I7">
        <v>0.460060755113232</v>
      </c>
      <c r="J7">
        <f t="shared" si="0"/>
        <v>0.444941170255185</v>
      </c>
    </row>
    <row r="8" spans="1:10">
      <c r="A8" s="1"/>
      <c r="G8" t="s">
        <v>13</v>
      </c>
      <c r="H8">
        <v>0.0805740999411296</v>
      </c>
      <c r="I8" t="s">
        <v>14</v>
      </c>
      <c r="J8" s="20">
        <f>AVERAGE(J2:J7)</f>
        <v>0.451083540645361</v>
      </c>
    </row>
    <row r="10" spans="1:18">
      <c r="A10" s="2" t="s">
        <v>15</v>
      </c>
      <c r="B10" s="3"/>
      <c r="C10" s="3"/>
      <c r="D10" s="3"/>
      <c r="E10" s="3"/>
      <c r="F10" s="4"/>
      <c r="N10" s="21"/>
      <c r="O10" s="19"/>
      <c r="P10" s="19"/>
      <c r="Q10" s="19"/>
      <c r="R10" s="19"/>
    </row>
    <row r="11" spans="1:18">
      <c r="A11" s="5" t="s">
        <v>0</v>
      </c>
      <c r="B11" t="s">
        <v>1</v>
      </c>
      <c r="C11" t="s">
        <v>2</v>
      </c>
      <c r="D11" t="s">
        <v>16</v>
      </c>
      <c r="E11" t="s">
        <v>3</v>
      </c>
      <c r="F11" s="6" t="s">
        <v>4</v>
      </c>
      <c r="N11" s="19"/>
      <c r="O11" s="19"/>
      <c r="P11" s="19"/>
      <c r="Q11" s="19"/>
      <c r="R11" s="19"/>
    </row>
    <row r="12" spans="1:18">
      <c r="A12" s="7" t="s">
        <v>7</v>
      </c>
      <c r="B12" t="s">
        <v>6</v>
      </c>
      <c r="C12">
        <v>0.0184311118730374</v>
      </c>
      <c r="D12" t="s">
        <v>17</v>
      </c>
      <c r="E12">
        <v>0.452743773811582</v>
      </c>
      <c r="F12" s="6">
        <f t="shared" ref="F12:F17" si="1">E12-C12</f>
        <v>0.434312661938545</v>
      </c>
      <c r="N12" s="19"/>
      <c r="O12" s="19"/>
      <c r="P12" s="19"/>
      <c r="Q12" s="19"/>
      <c r="R12" s="19"/>
    </row>
    <row r="13" spans="1:18">
      <c r="A13" s="5"/>
      <c r="B13" t="s">
        <v>8</v>
      </c>
      <c r="C13">
        <v>0.0121451681953655</v>
      </c>
      <c r="D13" t="s">
        <v>18</v>
      </c>
      <c r="E13">
        <v>0.453019998482845</v>
      </c>
      <c r="F13" s="6">
        <f t="shared" si="1"/>
        <v>0.44087483028748</v>
      </c>
      <c r="N13" s="19"/>
      <c r="O13" s="19"/>
      <c r="P13" s="19"/>
      <c r="Q13" s="19"/>
      <c r="R13" s="19"/>
    </row>
    <row r="14" spans="1:18">
      <c r="A14" s="5"/>
      <c r="B14" t="s">
        <v>9</v>
      </c>
      <c r="C14">
        <v>0.00338250797953133</v>
      </c>
      <c r="D14" t="s">
        <v>19</v>
      </c>
      <c r="E14">
        <v>0.453668974214753</v>
      </c>
      <c r="F14" s="6">
        <f t="shared" si="1"/>
        <v>0.450286466235222</v>
      </c>
      <c r="N14" s="19"/>
      <c r="O14" s="19"/>
      <c r="P14" s="19"/>
      <c r="Q14" s="19"/>
      <c r="R14" s="19"/>
    </row>
    <row r="15" spans="1:18">
      <c r="A15" s="5"/>
      <c r="B15" t="s">
        <v>10</v>
      </c>
      <c r="C15">
        <v>0.0032238968976571</v>
      </c>
      <c r="D15" t="s">
        <v>20</v>
      </c>
      <c r="E15">
        <v>0.452663742053405</v>
      </c>
      <c r="F15" s="6">
        <f t="shared" si="1"/>
        <v>0.449439845155748</v>
      </c>
      <c r="N15" s="19"/>
      <c r="O15" s="19"/>
      <c r="P15" s="19"/>
      <c r="Q15" s="19"/>
      <c r="R15" s="19"/>
    </row>
    <row r="16" spans="1:18">
      <c r="A16" s="5"/>
      <c r="B16" t="s">
        <v>11</v>
      </c>
      <c r="C16">
        <v>0.00471645175747347</v>
      </c>
      <c r="D16" t="s">
        <v>21</v>
      </c>
      <c r="E16">
        <v>0.453247103131316</v>
      </c>
      <c r="F16" s="6">
        <f t="shared" si="1"/>
        <v>0.448530651373843</v>
      </c>
      <c r="N16" s="19"/>
      <c r="O16" s="19"/>
      <c r="P16" s="19"/>
      <c r="Q16" s="19"/>
      <c r="R16" s="19"/>
    </row>
    <row r="17" spans="1:6">
      <c r="A17" s="5"/>
      <c r="B17" t="s">
        <v>12</v>
      </c>
      <c r="C17">
        <v>0.0169057877932069</v>
      </c>
      <c r="D17" t="s">
        <v>22</v>
      </c>
      <c r="E17">
        <v>0.452904108084722</v>
      </c>
      <c r="F17" s="6">
        <f t="shared" si="1"/>
        <v>0.435998320291515</v>
      </c>
    </row>
    <row r="18" spans="1:6">
      <c r="A18" s="5"/>
      <c r="B18" t="s">
        <v>13</v>
      </c>
      <c r="C18">
        <v>0.0479307679841492</v>
      </c>
      <c r="E18" t="s">
        <v>14</v>
      </c>
      <c r="F18" s="8">
        <f>AVERAGE(F12:F17)</f>
        <v>0.443240462547059</v>
      </c>
    </row>
    <row r="19" spans="1:6">
      <c r="A19" s="9" t="s">
        <v>15</v>
      </c>
      <c r="B19" s="10"/>
      <c r="C19" s="10"/>
      <c r="D19" s="10"/>
      <c r="E19" s="10"/>
      <c r="F19" s="11"/>
    </row>
    <row r="20" spans="1:6">
      <c r="A20" s="5" t="s">
        <v>0</v>
      </c>
      <c r="B20" t="s">
        <v>1</v>
      </c>
      <c r="C20" t="s">
        <v>2</v>
      </c>
      <c r="D20" t="s">
        <v>16</v>
      </c>
      <c r="E20" t="s">
        <v>3</v>
      </c>
      <c r="F20" s="6" t="s">
        <v>4</v>
      </c>
    </row>
    <row r="21" spans="1:6">
      <c r="A21" s="7" t="s">
        <v>7</v>
      </c>
      <c r="B21" t="s">
        <v>6</v>
      </c>
      <c r="C21">
        <v>0.0184311118730374</v>
      </c>
      <c r="D21" t="s">
        <v>23</v>
      </c>
      <c r="E21" s="12">
        <v>0.0794576457160638</v>
      </c>
      <c r="F21" s="6">
        <f>E21-C21</f>
        <v>0.0610265338430264</v>
      </c>
    </row>
    <row r="22" spans="1:6">
      <c r="A22" s="5"/>
      <c r="B22" t="s">
        <v>8</v>
      </c>
      <c r="C22">
        <v>0.0121451681953655</v>
      </c>
      <c r="D22" t="s">
        <v>24</v>
      </c>
      <c r="E22" s="12">
        <v>0.0420903543141297</v>
      </c>
      <c r="F22" s="6">
        <f>E22-C22</f>
        <v>0.0299451861187642</v>
      </c>
    </row>
    <row r="23" spans="1:6">
      <c r="A23" s="5"/>
      <c r="B23" t="s">
        <v>9</v>
      </c>
      <c r="C23">
        <v>0.00338250797953133</v>
      </c>
      <c r="D23" t="s">
        <v>25</v>
      </c>
      <c r="E23" s="13">
        <v>0.0231815131330603</v>
      </c>
      <c r="F23" s="6">
        <f>E23-C23</f>
        <v>0.019799005153529</v>
      </c>
    </row>
    <row r="24" spans="1:6">
      <c r="A24" s="5"/>
      <c r="B24" t="s">
        <v>10</v>
      </c>
      <c r="C24">
        <v>0.0032238968976571</v>
      </c>
      <c r="D24" t="s">
        <v>26</v>
      </c>
      <c r="E24" s="12">
        <v>0.0164547999314699</v>
      </c>
      <c r="F24" s="6">
        <f>E24-C24</f>
        <v>0.0132309030338128</v>
      </c>
    </row>
    <row r="25" spans="1:6">
      <c r="A25" s="5"/>
      <c r="B25" t="s">
        <v>11</v>
      </c>
      <c r="C25">
        <v>0.00471645175747347</v>
      </c>
      <c r="D25" t="s">
        <v>27</v>
      </c>
      <c r="E25" s="12">
        <v>0.00873556259600532</v>
      </c>
      <c r="F25" s="6">
        <f>E25-C25</f>
        <v>0.00401911083853185</v>
      </c>
    </row>
    <row r="26" spans="1:6">
      <c r="A26" s="5"/>
      <c r="B26" t="s">
        <v>12</v>
      </c>
      <c r="C26">
        <v>0.0169057877932069</v>
      </c>
      <c r="D26" t="s">
        <v>28</v>
      </c>
      <c r="E26" s="12">
        <v>0.0420903543141297</v>
      </c>
      <c r="F26" s="6">
        <f>E26-C26</f>
        <v>0.0251845665209228</v>
      </c>
    </row>
    <row r="27" ht="15.15" spans="1:6">
      <c r="A27" s="14"/>
      <c r="B27" s="15" t="s">
        <v>13</v>
      </c>
      <c r="C27" s="16">
        <v>0.0479307679841492</v>
      </c>
      <c r="D27" s="17"/>
      <c r="E27" s="17" t="s">
        <v>14</v>
      </c>
      <c r="F27" s="18">
        <f>SUM(F21:F26)/6</f>
        <v>0.0255342175847645</v>
      </c>
    </row>
    <row r="31" spans="1:5">
      <c r="A31" s="19" t="s">
        <v>29</v>
      </c>
      <c r="B31" s="19"/>
      <c r="C31" s="19"/>
      <c r="D31" s="19"/>
      <c r="E31" s="19"/>
    </row>
    <row r="32" spans="1:5">
      <c r="A32" t="s">
        <v>0</v>
      </c>
      <c r="B32" t="s">
        <v>1</v>
      </c>
      <c r="C32" t="s">
        <v>2</v>
      </c>
      <c r="D32" t="s">
        <v>3</v>
      </c>
      <c r="E32" t="s">
        <v>4</v>
      </c>
    </row>
    <row r="33" spans="1:5">
      <c r="A33" s="1" t="s">
        <v>7</v>
      </c>
      <c r="B33" t="s">
        <v>6</v>
      </c>
      <c r="C33">
        <v>0.0195548699353135</v>
      </c>
      <c r="D33">
        <v>0.420494959925042</v>
      </c>
      <c r="E33">
        <f t="shared" ref="E33:E38" si="2">D33-C33</f>
        <v>0.400940089989728</v>
      </c>
    </row>
    <row r="34" spans="2:5">
      <c r="B34" t="s">
        <v>8</v>
      </c>
      <c r="C34">
        <v>0.00883362453769236</v>
      </c>
      <c r="D34">
        <v>0.420016065395401</v>
      </c>
      <c r="E34">
        <f t="shared" si="2"/>
        <v>0.411182440857709</v>
      </c>
    </row>
    <row r="35" spans="2:5">
      <c r="B35" t="s">
        <v>9</v>
      </c>
      <c r="C35">
        <v>0.00930331582854527</v>
      </c>
      <c r="D35">
        <v>0.419608286202512</v>
      </c>
      <c r="E35">
        <f t="shared" si="2"/>
        <v>0.410304970373967</v>
      </c>
    </row>
    <row r="36" spans="2:5">
      <c r="B36" t="s">
        <v>10</v>
      </c>
      <c r="C36">
        <v>0.0090338377013506</v>
      </c>
      <c r="D36">
        <v>0.41988077258065</v>
      </c>
      <c r="E36">
        <f t="shared" si="2"/>
        <v>0.410846934879299</v>
      </c>
    </row>
    <row r="37" spans="2:5">
      <c r="B37" t="s">
        <v>11</v>
      </c>
      <c r="C37">
        <v>0.0101971792588136</v>
      </c>
      <c r="D37">
        <v>0.419888730769746</v>
      </c>
      <c r="E37">
        <f t="shared" si="2"/>
        <v>0.409691551510932</v>
      </c>
    </row>
    <row r="38" spans="2:5">
      <c r="B38" t="s">
        <v>12</v>
      </c>
      <c r="C38">
        <v>0.022893307802865</v>
      </c>
      <c r="D38">
        <v>0.419999565008611</v>
      </c>
      <c r="E38">
        <f t="shared" si="2"/>
        <v>0.397106257205746</v>
      </c>
    </row>
    <row r="39" spans="2:5">
      <c r="B39" t="s">
        <v>13</v>
      </c>
      <c r="C39">
        <v>0.0401252221438415</v>
      </c>
      <c r="D39" t="s">
        <v>14</v>
      </c>
      <c r="E39" s="20">
        <f>AVERAGE(E33:E38)</f>
        <v>0.406678707469564</v>
      </c>
    </row>
  </sheetData>
  <mergeCells count="4">
    <mergeCell ref="A10:F10"/>
    <mergeCell ref="A19:F19"/>
    <mergeCell ref="A31:E31"/>
    <mergeCell ref="N10:R1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diao</dc:creator>
  <cp:lastModifiedBy>旅行者</cp:lastModifiedBy>
  <dcterms:created xsi:type="dcterms:W3CDTF">2024-08-27T05:30:00Z</dcterms:created>
  <dcterms:modified xsi:type="dcterms:W3CDTF">2024-12-09T10:24:07Z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EC883A85AB524F028A84D1560ADD74C1_13</vt:lpwstr>
  </property>
  <property fmtid="{D5CDD505-2E9C-101B-9397-08002B2CF9AE}" pid="3" name="KSOProductBuildVer">
    <vt:lpwstr>2052-12.1.0.18912</vt:lpwstr>
  </property>
</Properties>
</file>